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VENTAS\2020\5. Valorizaciones\SOLUGRIFOS\"/>
    </mc:Choice>
  </mc:AlternateContent>
  <bookViews>
    <workbookView xWindow="0" yWindow="0" windowWidth="5775" windowHeight="10245"/>
  </bookViews>
  <sheets>
    <sheet name="Hoja1 (2)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0" i="2" l="1"/>
  <c r="AD30" i="2" s="1"/>
  <c r="AC32" i="2"/>
  <c r="AC31" i="2"/>
  <c r="AC28" i="2"/>
  <c r="AC27" i="2"/>
  <c r="AC26" i="2"/>
  <c r="AC25" i="2"/>
  <c r="AD25" i="2" s="1"/>
  <c r="AC24" i="2"/>
  <c r="AD24" i="2" s="1"/>
  <c r="AC23" i="2"/>
  <c r="AD23" i="2" s="1"/>
  <c r="AC22" i="2"/>
  <c r="AD22" i="2" s="1"/>
  <c r="AC21" i="2"/>
  <c r="AD21" i="2" s="1"/>
  <c r="AC20" i="2"/>
  <c r="AD20" i="2" s="1"/>
  <c r="AC19" i="2"/>
  <c r="AD19" i="2" s="1"/>
  <c r="AC18" i="2"/>
  <c r="AD18" i="2" s="1"/>
  <c r="AC17" i="2"/>
  <c r="AD17" i="2" s="1"/>
  <c r="AC16" i="2"/>
  <c r="AC15" i="2"/>
  <c r="AC14" i="2"/>
  <c r="AC13" i="2"/>
  <c r="AC12" i="2"/>
  <c r="AC11" i="2"/>
  <c r="AC10" i="2"/>
  <c r="AC29" i="2"/>
  <c r="AD29" i="2" l="1"/>
  <c r="AD28" i="2"/>
  <c r="AD27" i="2"/>
  <c r="AD26" i="2"/>
  <c r="AD16" i="2"/>
  <c r="AD15" i="2"/>
  <c r="AD14" i="2"/>
  <c r="AD13" i="2"/>
  <c r="AD12" i="2"/>
  <c r="AD31" i="2" l="1"/>
  <c r="AD32" i="2"/>
  <c r="G33" i="2" l="1"/>
  <c r="H33" i="2"/>
  <c r="I33" i="2"/>
  <c r="J33" i="2"/>
  <c r="K33" i="2"/>
  <c r="L33" i="2"/>
  <c r="M33" i="2"/>
  <c r="N33" i="2"/>
  <c r="O33" i="2"/>
  <c r="P33" i="2"/>
  <c r="Q33" i="2"/>
  <c r="R33" i="2"/>
  <c r="S33" i="2"/>
  <c r="U33" i="2"/>
  <c r="V33" i="2"/>
  <c r="W33" i="2"/>
  <c r="X33" i="2"/>
  <c r="Y33" i="2"/>
  <c r="Z33" i="2"/>
  <c r="AA33" i="2"/>
  <c r="AB33" i="2"/>
  <c r="F33" i="2"/>
  <c r="AD10" i="2"/>
  <c r="AD11" i="2"/>
  <c r="AC33" i="2" l="1"/>
  <c r="AD33" i="2"/>
</calcChain>
</file>

<file path=xl/sharedStrings.xml><?xml version="1.0" encoding="utf-8"?>
<sst xmlns="http://schemas.openxmlformats.org/spreadsheetml/2006/main" count="57" uniqueCount="49">
  <si>
    <t>INFORME</t>
  </si>
  <si>
    <t>PROYECTO</t>
  </si>
  <si>
    <t>PTS</t>
  </si>
  <si>
    <t>SO2</t>
  </si>
  <si>
    <t>NO2</t>
  </si>
  <si>
    <t>CO</t>
  </si>
  <si>
    <t>H2S</t>
  </si>
  <si>
    <t>O3</t>
  </si>
  <si>
    <t>VOCS</t>
  </si>
  <si>
    <t>HCT</t>
  </si>
  <si>
    <t>METALES Pb</t>
  </si>
  <si>
    <t>TOTAL SIN IGV</t>
  </si>
  <si>
    <t>TOTAL CON IGV</t>
  </si>
  <si>
    <t>HNM</t>
  </si>
  <si>
    <t>TOTAL</t>
  </si>
  <si>
    <t>N°</t>
  </si>
  <si>
    <t>PRECIOS LISTA:  COTIZACIÓN N⁰ 0016-19R01</t>
  </si>
  <si>
    <t>PM10
HIVOL</t>
  </si>
  <si>
    <t>PM2.5
HIVOL</t>
  </si>
  <si>
    <t>PM10
LOW-VOL</t>
  </si>
  <si>
    <t>PM2.5
LOW-VOL</t>
  </si>
  <si>
    <t xml:space="preserve">RUIDO AMBIENTAL </t>
  </si>
  <si>
    <t>TPH F1 (C6-C10)</t>
  </si>
  <si>
    <t>TPH F2 (&gt;C10-C28)</t>
  </si>
  <si>
    <t>Fecha de ingreso</t>
  </si>
  <si>
    <t>AyG</t>
  </si>
  <si>
    <t>TSS</t>
  </si>
  <si>
    <t>FLOW</t>
  </si>
  <si>
    <t>PH</t>
  </si>
  <si>
    <t>T</t>
  </si>
  <si>
    <t>VALORIZACIÓN Nº 15</t>
  </si>
  <si>
    <t>pyx</t>
  </si>
  <si>
    <t>xin xing</t>
  </si>
  <si>
    <t>servicentro ovalo ureta</t>
  </si>
  <si>
    <t>Compañía de combustibles del Sur</t>
  </si>
  <si>
    <t>corporacion pyx</t>
  </si>
  <si>
    <t>estacion de servicios villa</t>
  </si>
  <si>
    <t>gnv las flores</t>
  </si>
  <si>
    <t>gasocentro real proceres</t>
  </si>
  <si>
    <t>gaseocentro  real- huarochiri</t>
  </si>
  <si>
    <t xml:space="preserve"> COTIZACIÓN N⁰ 2878-20// PM 1238-2020</t>
  </si>
  <si>
    <t>inversiones central</t>
  </si>
  <si>
    <t>gaseocentro autoservicio -los proceres</t>
  </si>
  <si>
    <t>gaseocentro autoservicio -huarochiri</t>
  </si>
  <si>
    <t>servicentro ovalo higuereta</t>
  </si>
  <si>
    <t>demetrio arias</t>
  </si>
  <si>
    <t>grupo arias - pachacamac</t>
  </si>
  <si>
    <t>servicentro jose galvez</t>
  </si>
  <si>
    <t>estacion metereologica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</si>
</sst>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&quot;S/.&quot;\ * #,##0.00_ ;_ &quot;S/.&quot;\ * \-#,##0.00_ ;_ &quot;S/.&quot;\ * &quot;-&quot;??_ ;_ @_ "/>
    <numFmt numFmtId="165" formatCode="&quot;S/.&quot;\ #,##0.00"/>
    <numFmt numFmtId="166" formatCode="_ [$S/.-280A]\ * #,##0.00_ ;_ [$S/.-280A]\ * \-#,##0.00_ ;_ [$S/.-280A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7A1E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4" borderId="0" xfId="0" applyFill="1"/>
    <xf numFmtId="16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1" fillId="5" borderId="2" xfId="0" applyFont="1" applyFill="1" applyBorder="1"/>
    <xf numFmtId="0" fontId="0" fillId="5" borderId="2" xfId="0" applyFill="1" applyBorder="1" applyAlignment="1">
      <alignment horizontal="center"/>
    </xf>
    <xf numFmtId="166" fontId="0" fillId="5" borderId="2" xfId="0" applyNumberFormat="1" applyFill="1" applyBorder="1"/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164" fontId="0" fillId="9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4" fillId="6" borderId="4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48492"/>
  <sheetViews>
    <sheetView tabSelected="1" zoomScale="70" zoomScaleNormal="70" workbookViewId="0">
      <pane ySplit="9" topLeftCell="A10" activePane="bottomLeft" state="frozen"/>
      <selection pane="bottomLeft" activeCell="H36" sqref="H36"/>
    </sheetView>
  </sheetViews>
  <sheetFormatPr baseColWidth="10" defaultRowHeight="15" x14ac:dyDescent="0.25"/>
  <cols>
    <col min="1" max="1" width="8.28515625" customWidth="1"/>
    <col min="2" max="2" width="4.7109375" customWidth="1"/>
    <col min="4" max="4" width="12" customWidth="1"/>
    <col min="5" max="5" width="34.140625" customWidth="1"/>
    <col min="23" max="28" width="13" customWidth="1"/>
    <col min="29" max="29" width="14.5703125" customWidth="1"/>
    <col min="30" max="30" width="15.5703125" customWidth="1"/>
  </cols>
  <sheetData>
    <row r="1" spans="2:30" s="4" customFormat="1" x14ac:dyDescent="0.25"/>
    <row r="2" spans="2:30" s="5" customFormat="1" ht="24" customHeight="1" x14ac:dyDescent="0.25">
      <c r="B2" s="35" t="s">
        <v>30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2:30" s="5" customFormat="1" ht="24" customHeight="1" x14ac:dyDescent="0.25">
      <c r="B3" s="6"/>
      <c r="C3" s="36" t="s">
        <v>16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2:30" s="5" customFormat="1" ht="24" customHeight="1" x14ac:dyDescent="0.25">
      <c r="B4" s="6"/>
      <c r="C4" s="37" t="s">
        <v>40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6" spans="2:30" x14ac:dyDescent="0.25">
      <c r="S6" s="3"/>
      <c r="T6" s="3"/>
      <c r="U6" s="3"/>
      <c r="V6" s="3"/>
      <c r="W6" s="3"/>
      <c r="X6" s="3"/>
      <c r="Y6" s="3"/>
      <c r="Z6" s="3"/>
      <c r="AA6" s="3"/>
      <c r="AB6" s="3"/>
    </row>
    <row r="8" spans="2:30" ht="30" customHeight="1" x14ac:dyDescent="0.25">
      <c r="B8" s="16"/>
      <c r="C8" s="39" t="s">
        <v>0</v>
      </c>
      <c r="D8" s="38" t="s">
        <v>24</v>
      </c>
      <c r="E8" s="39" t="s">
        <v>1</v>
      </c>
      <c r="F8" s="7" t="s">
        <v>17</v>
      </c>
      <c r="G8" s="7" t="s">
        <v>19</v>
      </c>
      <c r="H8" s="8" t="s">
        <v>2</v>
      </c>
      <c r="I8" s="7" t="s">
        <v>18</v>
      </c>
      <c r="J8" s="7" t="s">
        <v>20</v>
      </c>
      <c r="K8" s="8" t="s">
        <v>3</v>
      </c>
      <c r="L8" s="8" t="s">
        <v>4</v>
      </c>
      <c r="M8" s="8" t="s">
        <v>5</v>
      </c>
      <c r="N8" s="8" t="s">
        <v>6</v>
      </c>
      <c r="O8" s="8" t="s">
        <v>7</v>
      </c>
      <c r="P8" s="8" t="s">
        <v>10</v>
      </c>
      <c r="Q8" s="8" t="s">
        <v>13</v>
      </c>
      <c r="R8" s="8" t="s">
        <v>9</v>
      </c>
      <c r="S8" s="8" t="s">
        <v>8</v>
      </c>
      <c r="T8" s="8" t="s">
        <v>48</v>
      </c>
      <c r="U8" s="18" t="s">
        <v>22</v>
      </c>
      <c r="V8" s="18" t="s">
        <v>23</v>
      </c>
      <c r="W8" s="20" t="s">
        <v>21</v>
      </c>
      <c r="X8" s="22" t="s">
        <v>25</v>
      </c>
      <c r="Y8" s="22" t="s">
        <v>26</v>
      </c>
      <c r="Z8" s="22" t="s">
        <v>27</v>
      </c>
      <c r="AA8" s="22" t="s">
        <v>28</v>
      </c>
      <c r="AB8" s="22" t="s">
        <v>29</v>
      </c>
      <c r="AC8" s="38" t="s">
        <v>11</v>
      </c>
      <c r="AD8" s="38" t="s">
        <v>12</v>
      </c>
    </row>
    <row r="9" spans="2:30" x14ac:dyDescent="0.25">
      <c r="B9" s="17" t="s">
        <v>15</v>
      </c>
      <c r="C9" s="39"/>
      <c r="D9" s="38"/>
      <c r="E9" s="39"/>
      <c r="F9" s="9">
        <v>30.28</v>
      </c>
      <c r="G9" s="9">
        <v>30.28</v>
      </c>
      <c r="H9" s="9">
        <v>31.68</v>
      </c>
      <c r="I9" s="9">
        <v>30.28</v>
      </c>
      <c r="J9" s="9">
        <v>50</v>
      </c>
      <c r="K9" s="10">
        <v>25.98</v>
      </c>
      <c r="L9" s="10">
        <v>29.19</v>
      </c>
      <c r="M9" s="10">
        <v>35.64</v>
      </c>
      <c r="N9" s="10">
        <v>29.19</v>
      </c>
      <c r="O9" s="10">
        <v>30.89</v>
      </c>
      <c r="P9" s="10">
        <v>63.37</v>
      </c>
      <c r="Q9" s="10">
        <v>142.58000000000001</v>
      </c>
      <c r="R9" s="10">
        <v>101.39</v>
      </c>
      <c r="S9" s="10">
        <v>136.24</v>
      </c>
      <c r="T9" s="10">
        <v>50</v>
      </c>
      <c r="U9" s="19">
        <v>150</v>
      </c>
      <c r="V9" s="19">
        <v>110</v>
      </c>
      <c r="W9" s="21">
        <v>30</v>
      </c>
      <c r="X9" s="23">
        <v>30</v>
      </c>
      <c r="Y9" s="23"/>
      <c r="Z9" s="23"/>
      <c r="AA9" s="23"/>
      <c r="AB9" s="23"/>
      <c r="AC9" s="38"/>
      <c r="AD9" s="38"/>
    </row>
    <row r="10" spans="2:30" x14ac:dyDescent="0.25">
      <c r="B10" s="29"/>
      <c r="C10" s="31">
        <v>205177</v>
      </c>
      <c r="D10" s="30">
        <v>44169</v>
      </c>
      <c r="E10" s="25" t="s">
        <v>31</v>
      </c>
      <c r="F10" s="26">
        <v>4</v>
      </c>
      <c r="G10" s="26"/>
      <c r="H10" s="26"/>
      <c r="I10" s="26">
        <v>4</v>
      </c>
      <c r="J10" s="26"/>
      <c r="K10" s="26">
        <v>4</v>
      </c>
      <c r="L10" s="26">
        <v>4</v>
      </c>
      <c r="M10" s="26">
        <v>4</v>
      </c>
      <c r="N10" s="26">
        <v>4</v>
      </c>
      <c r="O10" s="26">
        <v>4</v>
      </c>
      <c r="P10" s="26">
        <v>4</v>
      </c>
      <c r="Q10" s="26"/>
      <c r="R10" s="26">
        <v>4</v>
      </c>
      <c r="S10" s="26">
        <v>4</v>
      </c>
      <c r="T10" s="26"/>
      <c r="U10" s="26"/>
      <c r="V10" s="26"/>
      <c r="W10" s="26"/>
      <c r="X10" s="11"/>
      <c r="Y10" s="11"/>
      <c r="Z10" s="11"/>
      <c r="AA10" s="11"/>
      <c r="AB10" s="11"/>
      <c r="AC10" s="12">
        <f t="shared" ref="AC10:AC28" si="0">F10*F$9+G10*G$9+H10*H$9+I10*I$9+J10*J$9+K10*K$9+L10*L$9+M10*M$9+N10*N$9+O10*O$9+P10*P$9+Q10*Q$9+R10*R$9+S10*S$9+W$9*W10+U10*U$9+V10*V$9+T$9*T10</f>
        <v>2049.8000000000002</v>
      </c>
      <c r="AD10" s="12">
        <f t="shared" ref="AD10:AD30" si="1">AC10*1.18</f>
        <v>2418.7640000000001</v>
      </c>
    </row>
    <row r="11" spans="2:30" x14ac:dyDescent="0.25">
      <c r="B11" s="29"/>
      <c r="C11" s="31">
        <v>205178</v>
      </c>
      <c r="D11" s="30">
        <v>44169</v>
      </c>
      <c r="E11" s="25" t="s">
        <v>32</v>
      </c>
      <c r="F11" s="26">
        <v>2</v>
      </c>
      <c r="G11" s="26"/>
      <c r="H11" s="26"/>
      <c r="I11" s="26">
        <v>2</v>
      </c>
      <c r="J11" s="26"/>
      <c r="K11" s="26">
        <v>2</v>
      </c>
      <c r="L11" s="26">
        <v>2</v>
      </c>
      <c r="M11" s="26">
        <v>2</v>
      </c>
      <c r="N11" s="26">
        <v>2</v>
      </c>
      <c r="O11" s="26">
        <v>2</v>
      </c>
      <c r="P11" s="26">
        <v>2</v>
      </c>
      <c r="Q11" s="26"/>
      <c r="R11" s="26">
        <v>2</v>
      </c>
      <c r="S11" s="26">
        <v>2</v>
      </c>
      <c r="T11" s="26"/>
      <c r="U11" s="26"/>
      <c r="V11" s="26"/>
      <c r="W11" s="26"/>
      <c r="X11" s="11"/>
      <c r="Y11" s="11"/>
      <c r="Z11" s="11"/>
      <c r="AA11" s="11"/>
      <c r="AB11" s="11"/>
      <c r="AC11" s="12">
        <f t="shared" si="0"/>
        <v>1024.9000000000001</v>
      </c>
      <c r="AD11" s="12">
        <f t="shared" si="1"/>
        <v>1209.3820000000001</v>
      </c>
    </row>
    <row r="12" spans="2:30" x14ac:dyDescent="0.25">
      <c r="B12" s="32"/>
      <c r="C12" s="31">
        <v>205979</v>
      </c>
      <c r="D12" s="33">
        <v>44553</v>
      </c>
      <c r="E12" s="25" t="s">
        <v>41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>
        <v>3</v>
      </c>
      <c r="S12" s="26"/>
      <c r="T12" s="26"/>
      <c r="U12" s="26"/>
      <c r="V12" s="26"/>
      <c r="W12" s="26"/>
      <c r="X12" s="11"/>
      <c r="Y12" s="11"/>
      <c r="Z12" s="11"/>
      <c r="AA12" s="11"/>
      <c r="AB12" s="11"/>
      <c r="AC12" s="12">
        <f t="shared" si="0"/>
        <v>304.17</v>
      </c>
      <c r="AD12" s="12">
        <f t="shared" si="1"/>
        <v>358.92059999999998</v>
      </c>
    </row>
    <row r="13" spans="2:30" x14ac:dyDescent="0.25">
      <c r="B13" s="32"/>
      <c r="C13" s="34">
        <v>205980</v>
      </c>
      <c r="D13" s="33">
        <v>44553</v>
      </c>
      <c r="E13" s="25" t="s">
        <v>36</v>
      </c>
      <c r="F13" s="26">
        <v>2</v>
      </c>
      <c r="G13" s="26"/>
      <c r="H13" s="26"/>
      <c r="I13" s="26">
        <v>2</v>
      </c>
      <c r="J13" s="26"/>
      <c r="K13" s="26">
        <v>2</v>
      </c>
      <c r="L13" s="26">
        <v>2</v>
      </c>
      <c r="M13" s="26">
        <v>2</v>
      </c>
      <c r="N13" s="26">
        <v>2</v>
      </c>
      <c r="O13" s="26">
        <v>2</v>
      </c>
      <c r="P13" s="26">
        <v>2</v>
      </c>
      <c r="Q13" s="26"/>
      <c r="R13" s="26">
        <v>2</v>
      </c>
      <c r="S13" s="26">
        <v>2</v>
      </c>
      <c r="T13" s="26"/>
      <c r="U13" s="26"/>
      <c r="V13" s="26"/>
      <c r="W13" s="26"/>
      <c r="X13" s="11"/>
      <c r="Y13" s="11"/>
      <c r="Z13" s="11"/>
      <c r="AA13" s="11"/>
      <c r="AB13" s="11"/>
      <c r="AC13" s="12">
        <f t="shared" si="0"/>
        <v>1024.9000000000001</v>
      </c>
      <c r="AD13" s="12">
        <f t="shared" si="1"/>
        <v>1209.3820000000001</v>
      </c>
    </row>
    <row r="14" spans="2:30" x14ac:dyDescent="0.25">
      <c r="B14" s="32"/>
      <c r="C14" s="34">
        <v>205981</v>
      </c>
      <c r="D14" s="33">
        <v>44553</v>
      </c>
      <c r="E14" s="25" t="s">
        <v>42</v>
      </c>
      <c r="F14" s="26">
        <v>2</v>
      </c>
      <c r="G14" s="26"/>
      <c r="H14" s="26"/>
      <c r="I14" s="26">
        <v>2</v>
      </c>
      <c r="J14" s="26"/>
      <c r="K14" s="26">
        <v>2</v>
      </c>
      <c r="L14" s="26"/>
      <c r="M14" s="26"/>
      <c r="N14" s="26">
        <v>2</v>
      </c>
      <c r="O14" s="26"/>
      <c r="P14" s="26"/>
      <c r="Q14" s="26"/>
      <c r="R14" s="26"/>
      <c r="S14" s="26">
        <v>2</v>
      </c>
      <c r="T14" s="26"/>
      <c r="U14" s="26"/>
      <c r="V14" s="26"/>
      <c r="W14" s="26"/>
      <c r="X14" s="11"/>
      <c r="Y14" s="11"/>
      <c r="Z14" s="11"/>
      <c r="AA14" s="11"/>
      <c r="AB14" s="11"/>
      <c r="AC14" s="12">
        <f t="shared" si="0"/>
        <v>503.94000000000005</v>
      </c>
      <c r="AD14" s="12">
        <f t="shared" si="1"/>
        <v>594.64920000000006</v>
      </c>
    </row>
    <row r="15" spans="2:30" x14ac:dyDescent="0.25">
      <c r="B15" s="32"/>
      <c r="C15" s="34">
        <v>205982</v>
      </c>
      <c r="D15" s="33">
        <v>44553</v>
      </c>
      <c r="E15" s="25" t="s">
        <v>43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1"/>
      <c r="Y15" s="11"/>
      <c r="Z15" s="11"/>
      <c r="AA15" s="11"/>
      <c r="AB15" s="11"/>
      <c r="AC15" s="12">
        <f t="shared" si="0"/>
        <v>0</v>
      </c>
      <c r="AD15" s="12">
        <f t="shared" si="1"/>
        <v>0</v>
      </c>
    </row>
    <row r="16" spans="2:30" x14ac:dyDescent="0.25">
      <c r="B16" s="32"/>
      <c r="C16" s="34">
        <v>205983</v>
      </c>
      <c r="D16" s="33">
        <v>44553</v>
      </c>
      <c r="E16" s="25" t="s">
        <v>44</v>
      </c>
      <c r="F16" s="26">
        <v>2</v>
      </c>
      <c r="G16" s="26"/>
      <c r="H16" s="26"/>
      <c r="I16" s="26">
        <v>2</v>
      </c>
      <c r="J16" s="26"/>
      <c r="K16" s="26">
        <v>2</v>
      </c>
      <c r="L16" s="26">
        <v>2</v>
      </c>
      <c r="M16" s="26">
        <v>2</v>
      </c>
      <c r="N16" s="26">
        <v>2</v>
      </c>
      <c r="O16" s="26">
        <v>2</v>
      </c>
      <c r="P16" s="26">
        <v>2</v>
      </c>
      <c r="Q16" s="26"/>
      <c r="R16" s="26">
        <v>2</v>
      </c>
      <c r="S16" s="26">
        <v>2</v>
      </c>
      <c r="T16" s="26"/>
      <c r="U16" s="26"/>
      <c r="V16" s="26"/>
      <c r="W16" s="26"/>
      <c r="X16" s="11"/>
      <c r="Y16" s="11"/>
      <c r="Z16" s="11"/>
      <c r="AA16" s="11"/>
      <c r="AB16" s="11"/>
      <c r="AC16" s="12">
        <f t="shared" si="0"/>
        <v>1024.9000000000001</v>
      </c>
      <c r="AD16" s="12">
        <f t="shared" si="1"/>
        <v>1209.3820000000001</v>
      </c>
    </row>
    <row r="17" spans="2:30" x14ac:dyDescent="0.25">
      <c r="B17" s="32"/>
      <c r="C17" s="34">
        <v>206075</v>
      </c>
      <c r="D17" s="33">
        <v>44560</v>
      </c>
      <c r="E17" s="25" t="s">
        <v>34</v>
      </c>
      <c r="F17" s="26">
        <v>2</v>
      </c>
      <c r="G17" s="26"/>
      <c r="H17" s="26"/>
      <c r="I17" s="26"/>
      <c r="J17" s="26"/>
      <c r="K17" s="26">
        <v>2</v>
      </c>
      <c r="L17" s="26"/>
      <c r="M17" s="26"/>
      <c r="N17" s="26"/>
      <c r="O17" s="26"/>
      <c r="P17" s="26"/>
      <c r="Q17" s="26"/>
      <c r="R17" s="26">
        <v>2</v>
      </c>
      <c r="S17" s="26"/>
      <c r="T17" s="26"/>
      <c r="U17" s="26"/>
      <c r="V17" s="26"/>
      <c r="W17" s="26"/>
      <c r="X17" s="11"/>
      <c r="Y17" s="11"/>
      <c r="Z17" s="11"/>
      <c r="AA17" s="11"/>
      <c r="AB17" s="11"/>
      <c r="AC17" s="12">
        <f t="shared" si="0"/>
        <v>315.3</v>
      </c>
      <c r="AD17" s="12">
        <f t="shared" ref="AD17:AD25" si="2">AC17*1.18</f>
        <v>372.05399999999997</v>
      </c>
    </row>
    <row r="18" spans="2:30" x14ac:dyDescent="0.25">
      <c r="B18" s="29"/>
      <c r="C18" s="34">
        <v>206076</v>
      </c>
      <c r="D18" s="30">
        <v>44195</v>
      </c>
      <c r="E18" s="25" t="s">
        <v>33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>
        <v>2</v>
      </c>
      <c r="X18" s="11"/>
      <c r="Y18" s="11"/>
      <c r="Z18" s="11"/>
      <c r="AA18" s="11"/>
      <c r="AB18" s="11"/>
      <c r="AC18" s="12">
        <f t="shared" si="0"/>
        <v>60</v>
      </c>
      <c r="AD18" s="12">
        <f t="shared" si="2"/>
        <v>70.8</v>
      </c>
    </row>
    <row r="19" spans="2:30" x14ac:dyDescent="0.25">
      <c r="B19" s="29"/>
      <c r="C19" s="34">
        <v>206077</v>
      </c>
      <c r="D19" s="30">
        <v>44195</v>
      </c>
      <c r="E19" s="25" t="s">
        <v>34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>
        <v>3</v>
      </c>
      <c r="X19" s="11"/>
      <c r="Y19" s="11"/>
      <c r="Z19" s="11"/>
      <c r="AA19" s="11"/>
      <c r="AB19" s="11"/>
      <c r="AC19" s="12">
        <f t="shared" si="0"/>
        <v>90</v>
      </c>
      <c r="AD19" s="12">
        <f t="shared" si="2"/>
        <v>106.19999999999999</v>
      </c>
    </row>
    <row r="20" spans="2:30" x14ac:dyDescent="0.25">
      <c r="B20" s="29"/>
      <c r="C20" s="34">
        <v>206078</v>
      </c>
      <c r="D20" s="30">
        <v>44195</v>
      </c>
      <c r="E20" s="25" t="s">
        <v>35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>
        <v>4</v>
      </c>
      <c r="X20" s="11"/>
      <c r="Y20" s="11"/>
      <c r="Z20" s="11"/>
      <c r="AA20" s="11"/>
      <c r="AB20" s="11"/>
      <c r="AC20" s="12">
        <f t="shared" si="0"/>
        <v>120</v>
      </c>
      <c r="AD20" s="12">
        <f t="shared" si="2"/>
        <v>141.6</v>
      </c>
    </row>
    <row r="21" spans="2:30" x14ac:dyDescent="0.25">
      <c r="B21" s="29"/>
      <c r="C21" s="34">
        <v>206079</v>
      </c>
      <c r="D21" s="30">
        <v>44195</v>
      </c>
      <c r="E21" s="25" t="s">
        <v>36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>
        <v>2</v>
      </c>
      <c r="X21" s="11"/>
      <c r="Y21" s="11"/>
      <c r="Z21" s="11"/>
      <c r="AA21" s="11"/>
      <c r="AB21" s="11"/>
      <c r="AC21" s="12">
        <f t="shared" si="0"/>
        <v>60</v>
      </c>
      <c r="AD21" s="12">
        <f t="shared" si="2"/>
        <v>70.8</v>
      </c>
    </row>
    <row r="22" spans="2:30" x14ac:dyDescent="0.25">
      <c r="B22" s="29"/>
      <c r="C22" s="34">
        <v>206080</v>
      </c>
      <c r="D22" s="30">
        <v>44195</v>
      </c>
      <c r="E22" s="25" t="s">
        <v>32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>
        <v>2</v>
      </c>
      <c r="X22" s="11"/>
      <c r="Y22" s="11"/>
      <c r="Z22" s="11"/>
      <c r="AA22" s="11"/>
      <c r="AB22" s="11"/>
      <c r="AC22" s="12">
        <f t="shared" si="0"/>
        <v>60</v>
      </c>
      <c r="AD22" s="12">
        <f t="shared" si="2"/>
        <v>70.8</v>
      </c>
    </row>
    <row r="23" spans="2:30" x14ac:dyDescent="0.25">
      <c r="B23" s="29"/>
      <c r="C23" s="34">
        <v>206081</v>
      </c>
      <c r="D23" s="30">
        <v>44195</v>
      </c>
      <c r="E23" s="25" t="s">
        <v>37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>
        <v>3</v>
      </c>
      <c r="X23" s="11"/>
      <c r="Y23" s="11"/>
      <c r="Z23" s="11"/>
      <c r="AA23" s="11"/>
      <c r="AB23" s="11"/>
      <c r="AC23" s="12">
        <f t="shared" si="0"/>
        <v>90</v>
      </c>
      <c r="AD23" s="12">
        <f t="shared" si="2"/>
        <v>106.19999999999999</v>
      </c>
    </row>
    <row r="24" spans="2:30" x14ac:dyDescent="0.25">
      <c r="B24" s="29"/>
      <c r="C24" s="34">
        <v>206082</v>
      </c>
      <c r="D24" s="30">
        <v>44195</v>
      </c>
      <c r="E24" s="25" t="s">
        <v>38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>
        <v>2</v>
      </c>
      <c r="X24" s="11"/>
      <c r="Y24" s="11"/>
      <c r="Z24" s="11"/>
      <c r="AA24" s="11"/>
      <c r="AB24" s="11"/>
      <c r="AC24" s="12">
        <f t="shared" si="0"/>
        <v>60</v>
      </c>
      <c r="AD24" s="12">
        <f t="shared" si="2"/>
        <v>70.8</v>
      </c>
    </row>
    <row r="25" spans="2:30" x14ac:dyDescent="0.25">
      <c r="B25" s="29"/>
      <c r="C25" s="34">
        <v>206083</v>
      </c>
      <c r="D25" s="30">
        <v>44195</v>
      </c>
      <c r="E25" s="25" t="s">
        <v>39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>
        <v>2</v>
      </c>
      <c r="X25" s="11"/>
      <c r="Y25" s="11"/>
      <c r="Z25" s="11"/>
      <c r="AA25" s="11"/>
      <c r="AB25" s="11"/>
      <c r="AC25" s="12">
        <f t="shared" si="0"/>
        <v>60</v>
      </c>
      <c r="AD25" s="12">
        <f t="shared" si="2"/>
        <v>70.8</v>
      </c>
    </row>
    <row r="26" spans="2:30" x14ac:dyDescent="0.25">
      <c r="B26" s="32"/>
      <c r="C26" s="34">
        <v>207062</v>
      </c>
      <c r="D26" s="33">
        <v>44196</v>
      </c>
      <c r="E26" s="25" t="s">
        <v>45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>
        <v>2</v>
      </c>
      <c r="T26" s="26"/>
      <c r="U26" s="26"/>
      <c r="V26" s="26"/>
      <c r="W26" s="26"/>
      <c r="X26" s="11"/>
      <c r="Y26" s="11"/>
      <c r="Z26" s="11"/>
      <c r="AA26" s="11"/>
      <c r="AB26" s="11"/>
      <c r="AC26" s="12">
        <f t="shared" si="0"/>
        <v>272.48</v>
      </c>
      <c r="AD26" s="12">
        <f t="shared" si="1"/>
        <v>321.52640000000002</v>
      </c>
    </row>
    <row r="27" spans="2:30" x14ac:dyDescent="0.25">
      <c r="B27" s="32"/>
      <c r="C27" s="34">
        <v>207063</v>
      </c>
      <c r="D27" s="33">
        <v>44196</v>
      </c>
      <c r="E27" s="25" t="s">
        <v>46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>
        <v>2</v>
      </c>
      <c r="T27" s="26"/>
      <c r="U27" s="26"/>
      <c r="V27" s="26"/>
      <c r="W27" s="26"/>
      <c r="X27" s="11"/>
      <c r="Y27" s="11"/>
      <c r="Z27" s="11"/>
      <c r="AA27" s="11"/>
      <c r="AB27" s="11"/>
      <c r="AC27" s="12">
        <f t="shared" si="0"/>
        <v>272.48</v>
      </c>
      <c r="AD27" s="12">
        <f t="shared" si="1"/>
        <v>321.52640000000002</v>
      </c>
    </row>
    <row r="28" spans="2:30" ht="25.5" customHeight="1" x14ac:dyDescent="0.25">
      <c r="B28" s="32"/>
      <c r="C28" s="34">
        <v>207064</v>
      </c>
      <c r="D28" s="33">
        <v>44196</v>
      </c>
      <c r="E28" s="25" t="s">
        <v>47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>
        <v>2</v>
      </c>
      <c r="T28" s="26"/>
      <c r="U28" s="26"/>
      <c r="V28" s="26"/>
      <c r="W28" s="26"/>
      <c r="X28" s="11"/>
      <c r="Y28" s="11"/>
      <c r="Z28" s="11"/>
      <c r="AA28" s="11"/>
      <c r="AB28" s="11"/>
      <c r="AC28" s="12">
        <f t="shared" si="0"/>
        <v>272.48</v>
      </c>
      <c r="AD28" s="12">
        <f t="shared" si="1"/>
        <v>321.52640000000002</v>
      </c>
    </row>
    <row r="29" spans="2:30" x14ac:dyDescent="0.25">
      <c r="B29" s="32"/>
      <c r="C29" s="34">
        <v>206075</v>
      </c>
      <c r="D29" s="33">
        <v>44196</v>
      </c>
      <c r="E29" s="25" t="s">
        <v>34</v>
      </c>
      <c r="F29" s="26">
        <v>2</v>
      </c>
      <c r="G29" s="26"/>
      <c r="H29" s="26"/>
      <c r="I29" s="26"/>
      <c r="J29" s="26"/>
      <c r="K29" s="26">
        <v>2</v>
      </c>
      <c r="L29" s="26">
        <v>2</v>
      </c>
      <c r="M29" s="26">
        <v>2</v>
      </c>
      <c r="N29" s="26"/>
      <c r="O29" s="26"/>
      <c r="P29" s="26"/>
      <c r="Q29" s="26"/>
      <c r="R29" s="26"/>
      <c r="S29" s="26"/>
      <c r="T29" s="26">
        <v>1</v>
      </c>
      <c r="U29" s="26"/>
      <c r="V29" s="26"/>
      <c r="W29" s="26"/>
      <c r="X29" s="11"/>
      <c r="Y29" s="11"/>
      <c r="Z29" s="11"/>
      <c r="AA29" s="11"/>
      <c r="AB29" s="11"/>
      <c r="AC29" s="12">
        <f>F29*F$9+G29*G$9+H29*H$9+I29*I$9+J29*J$9+K29*K$9+L29*L$9+M29*M$9+N29*N$9+O29*O$9+P29*P$9+Q29*Q$9+R29*R$9+S29*S$9+W$9*W29+U29*U$9+V29*V$9+T$9*T29</f>
        <v>292.18</v>
      </c>
      <c r="AD29" s="12">
        <f t="shared" si="1"/>
        <v>344.7724</v>
      </c>
    </row>
    <row r="30" spans="2:30" x14ac:dyDescent="0.25">
      <c r="B30" s="29"/>
      <c r="C30" s="34">
        <v>210056</v>
      </c>
      <c r="D30" s="30">
        <v>44204</v>
      </c>
      <c r="E30" s="25" t="s">
        <v>47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>
        <v>2</v>
      </c>
      <c r="X30" s="11"/>
      <c r="Y30" s="11"/>
      <c r="Z30" s="11"/>
      <c r="AA30" s="11"/>
      <c r="AB30" s="11"/>
      <c r="AC30" s="12">
        <f t="shared" ref="AC30" si="3">F30*F$9+G30*G$9+H30*H$9+I30*I$9+J30*J$9+K30*K$9+L30*L$9+M30*M$9+N30*N$9+O30*O$9+P30*P$9+Q30*Q$9+R30*R$9+S30*S$9+W$9*W30+U30*U$9+V30*V$9+T$9*T30</f>
        <v>60</v>
      </c>
      <c r="AD30" s="12">
        <f t="shared" si="1"/>
        <v>70.8</v>
      </c>
    </row>
    <row r="31" spans="2:30" x14ac:dyDescent="0.25">
      <c r="B31" s="29"/>
      <c r="C31" s="34">
        <v>210057</v>
      </c>
      <c r="D31" s="30">
        <v>44204</v>
      </c>
      <c r="E31" s="25" t="s">
        <v>46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>
        <v>2</v>
      </c>
      <c r="X31" s="11"/>
      <c r="Y31" s="11"/>
      <c r="Z31" s="11"/>
      <c r="AA31" s="11"/>
      <c r="AB31" s="11"/>
      <c r="AC31" s="12">
        <f t="shared" ref="AC31:AC32" si="4">F31*F$9+G31*G$9+H31*H$9+I31*I$9+J31*J$9+K31*K$9+L31*L$9+M31*M$9+N31*N$9+O31*O$9+P31*P$9+Q31*Q$9+R31*R$9+S31*S$9+W$9*W31+U31*U$9+V31*V$9+T$9*T31</f>
        <v>60</v>
      </c>
      <c r="AD31" s="12">
        <f t="shared" ref="AD31:AD32" si="5">AC31*1.18</f>
        <v>70.8</v>
      </c>
    </row>
    <row r="32" spans="2:30" x14ac:dyDescent="0.25">
      <c r="B32" s="29"/>
      <c r="C32" s="34">
        <v>210058</v>
      </c>
      <c r="D32" s="30">
        <v>44204</v>
      </c>
      <c r="E32" s="25" t="s">
        <v>45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>
        <v>2</v>
      </c>
      <c r="X32" s="11"/>
      <c r="Y32" s="11"/>
      <c r="Z32" s="11"/>
      <c r="AA32" s="11"/>
      <c r="AB32" s="11"/>
      <c r="AC32" s="12">
        <f t="shared" si="4"/>
        <v>60</v>
      </c>
      <c r="AD32" s="12">
        <f t="shared" si="5"/>
        <v>70.8</v>
      </c>
    </row>
    <row r="33" spans="2:31" x14ac:dyDescent="0.25">
      <c r="B33" s="27"/>
      <c r="D33" s="28"/>
      <c r="E33" s="13" t="s">
        <v>14</v>
      </c>
      <c r="F33" s="14">
        <f>SUM(F10:F32)</f>
        <v>16</v>
      </c>
      <c r="G33" s="14">
        <f>SUM(G10:G32)</f>
        <v>0</v>
      </c>
      <c r="H33" s="14">
        <f>SUM(H10:H32)</f>
        <v>0</v>
      </c>
      <c r="I33" s="14">
        <f>SUM(I10:I32)</f>
        <v>12</v>
      </c>
      <c r="J33" s="14">
        <f>SUM(J10:J32)</f>
        <v>0</v>
      </c>
      <c r="K33" s="14">
        <f>SUM(K10:K32)</f>
        <v>16</v>
      </c>
      <c r="L33" s="14">
        <f>SUM(L10:L32)</f>
        <v>12</v>
      </c>
      <c r="M33" s="14">
        <f>SUM(M10:M32)</f>
        <v>12</v>
      </c>
      <c r="N33" s="14">
        <f>SUM(N10:N32)</f>
        <v>12</v>
      </c>
      <c r="O33" s="14">
        <f>SUM(O10:O32)</f>
        <v>10</v>
      </c>
      <c r="P33" s="14">
        <f>SUM(P10:P32)</f>
        <v>10</v>
      </c>
      <c r="Q33" s="14">
        <f>SUM(Q10:Q32)</f>
        <v>0</v>
      </c>
      <c r="R33" s="14">
        <f>SUM(R10:R32)</f>
        <v>15</v>
      </c>
      <c r="S33" s="14">
        <f>SUM(S10:S32)</f>
        <v>18</v>
      </c>
      <c r="T33" s="14"/>
      <c r="U33" s="14">
        <f>SUM(U10:U32)</f>
        <v>0</v>
      </c>
      <c r="V33" s="14">
        <f>SUM(V10:V32)</f>
        <v>0</v>
      </c>
      <c r="W33" s="14">
        <f>SUM(W10:W32)</f>
        <v>26</v>
      </c>
      <c r="X33" s="14">
        <f>SUM(X10:X32)</f>
        <v>0</v>
      </c>
      <c r="Y33" s="14">
        <f>SUM(Y10:Y32)</f>
        <v>0</v>
      </c>
      <c r="Z33" s="14">
        <f>SUM(Z10:Z32)</f>
        <v>0</v>
      </c>
      <c r="AA33" s="14">
        <f>SUM(AA10:AA32)</f>
        <v>0</v>
      </c>
      <c r="AB33" s="14">
        <f>SUM(AB10:AB32)</f>
        <v>0</v>
      </c>
      <c r="AC33" s="15">
        <f>SUM(AC10:AC32)</f>
        <v>8137.5300000000007</v>
      </c>
      <c r="AD33" s="15">
        <f>SUM(AD10:AD32)</f>
        <v>9602.2853999999988</v>
      </c>
      <c r="AE33" s="1" t="s">
        <v>14</v>
      </c>
    </row>
    <row r="36" spans="2:31" x14ac:dyDescent="0.25">
      <c r="C36" s="24"/>
    </row>
    <row r="37" spans="2:31" x14ac:dyDescent="0.25">
      <c r="C37" s="24"/>
    </row>
    <row r="38" spans="2:31" x14ac:dyDescent="0.25">
      <c r="C38" s="24"/>
    </row>
    <row r="39" spans="2:31" x14ac:dyDescent="0.25">
      <c r="C39" s="24"/>
    </row>
    <row r="40" spans="2:31" x14ac:dyDescent="0.25">
      <c r="C40" s="24"/>
    </row>
    <row r="41" spans="2:31" x14ac:dyDescent="0.25">
      <c r="C41" s="24"/>
    </row>
    <row r="42" spans="2:31" x14ac:dyDescent="0.25">
      <c r="C42" s="24"/>
    </row>
    <row r="43" spans="2:31" x14ac:dyDescent="0.25">
      <c r="C43" s="24"/>
    </row>
    <row r="44" spans="2:31" x14ac:dyDescent="0.25">
      <c r="C44" s="24"/>
    </row>
    <row r="45" spans="2:31" x14ac:dyDescent="0.25">
      <c r="C45" s="24"/>
    </row>
    <row r="46" spans="2:31" x14ac:dyDescent="0.25">
      <c r="C46" s="24"/>
    </row>
    <row r="47" spans="2:31" x14ac:dyDescent="0.25">
      <c r="C47" s="24"/>
    </row>
    <row r="48" spans="2:31" x14ac:dyDescent="0.25">
      <c r="C48" s="24"/>
    </row>
    <row r="49" spans="3:3" x14ac:dyDescent="0.25">
      <c r="C49" s="24"/>
    </row>
    <row r="50" spans="3:3" x14ac:dyDescent="0.25">
      <c r="C50" s="24"/>
    </row>
    <row r="51" spans="3:3" x14ac:dyDescent="0.25">
      <c r="C51" s="24"/>
    </row>
    <row r="52" spans="3:3" x14ac:dyDescent="0.25">
      <c r="C52" s="24"/>
    </row>
    <row r="53" spans="3:3" x14ac:dyDescent="0.25">
      <c r="C53" s="24"/>
    </row>
    <row r="54" spans="3:3" x14ac:dyDescent="0.25">
      <c r="C54" s="24"/>
    </row>
    <row r="55" spans="3:3" x14ac:dyDescent="0.25">
      <c r="C55" s="24"/>
    </row>
    <row r="56" spans="3:3" x14ac:dyDescent="0.25">
      <c r="C56" s="24"/>
    </row>
    <row r="57" spans="3:3" x14ac:dyDescent="0.25">
      <c r="C57" s="24"/>
    </row>
    <row r="58" spans="3:3" x14ac:dyDescent="0.25">
      <c r="C58" s="24"/>
    </row>
    <row r="59" spans="3:3" x14ac:dyDescent="0.25">
      <c r="C59" s="24"/>
    </row>
    <row r="1048478" spans="4:4" x14ac:dyDescent="0.25">
      <c r="D1048478" s="2"/>
    </row>
    <row r="1048492" spans="4:4" x14ac:dyDescent="0.25">
      <c r="D1048492" s="2">
        <v>43657</v>
      </c>
    </row>
  </sheetData>
  <sortState ref="B26:C49">
    <sortCondition ref="C26:C49"/>
  </sortState>
  <mergeCells count="8">
    <mergeCell ref="B2:AD2"/>
    <mergeCell ref="C3:AD3"/>
    <mergeCell ref="C4:AD4"/>
    <mergeCell ref="AC8:AC9"/>
    <mergeCell ref="AD8:AD9"/>
    <mergeCell ref="D8:D9"/>
    <mergeCell ref="C8:C9"/>
    <mergeCell ref="E8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</dc:creator>
  <cp:lastModifiedBy>Informes</cp:lastModifiedBy>
  <dcterms:created xsi:type="dcterms:W3CDTF">2019-03-14T16:39:14Z</dcterms:created>
  <dcterms:modified xsi:type="dcterms:W3CDTF">2021-02-27T17:36:28Z</dcterms:modified>
</cp:coreProperties>
</file>